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n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<sst xmlns="http://schemas.openxmlformats.org/spreadsheetml/2006/main" count="54" uniqueCount="34">
  <si>
    <t xml:space="preserve">Loan Name</t>
  </si>
  <si>
    <t xml:space="preserve">Type</t>
  </si>
  <si>
    <t xml:space="preserve">Minimum Payment Old</t>
  </si>
  <si>
    <t xml:space="preserve">Minimum Payment</t>
  </si>
  <si>
    <t xml:space="preserve">Current Balance</t>
  </si>
  <si>
    <t xml:space="preserve">Est. Interest Rate</t>
  </si>
  <si>
    <t xml:space="preserve">Strategy Priority</t>
  </si>
  <si>
    <t xml:space="preserve">CL0001 (RH)</t>
  </si>
  <si>
    <t xml:space="preserve">Private</t>
  </si>
  <si>
    <t xml:space="preserve">Target 1st (Snowball/Avalanche)</t>
  </si>
  <si>
    <t xml:space="preserve">CL0002 (RH)</t>
  </si>
  <si>
    <t xml:space="preserve">Target 2nd (After $5.5k)</t>
  </si>
  <si>
    <t xml:space="preserve">CL0003 (RH)</t>
  </si>
  <si>
    <t xml:space="preserve">CL0004 (RH)</t>
  </si>
  <si>
    <t xml:space="preserve">FirstMark (KH)</t>
  </si>
  <si>
    <t xml:space="preserve">CL001 (KH)</t>
  </si>
  <si>
    <t xml:space="preserve">CL002 (KH)</t>
  </si>
  <si>
    <t xml:space="preserve">CL003 (KH)</t>
  </si>
  <si>
    <t xml:space="preserve">CL004 (KH)</t>
  </si>
  <si>
    <t xml:space="preserve">Fed 1 (RH)</t>
  </si>
  <si>
    <t xml:space="preserve">Federal</t>
  </si>
  <si>
    <t xml:space="preserve">Fed 2 (RH)</t>
  </si>
  <si>
    <t xml:space="preserve">Fed 3 (RH)</t>
  </si>
  <si>
    <t xml:space="preserve">Fed 4 (RH)</t>
  </si>
  <si>
    <t xml:space="preserve">Fed 5 (RH)</t>
  </si>
  <si>
    <t xml:space="preserve">Fed 6 (RH)</t>
  </si>
  <si>
    <t xml:space="preserve">Fed 7 (RH)</t>
  </si>
  <si>
    <t xml:space="preserve">Fed 8 (RH)</t>
  </si>
  <si>
    <t xml:space="preserve">Fed 9 (RH)</t>
  </si>
  <si>
    <t xml:space="preserve">Fed 10 (RH)</t>
  </si>
  <si>
    <t xml:space="preserve">Fed 11 (RH)</t>
  </si>
  <si>
    <t xml:space="preserve">Fed 1 (KH)</t>
  </si>
  <si>
    <t xml:space="preserve">Fed 2 (KH)</t>
  </si>
  <si>
    <t xml:space="preserve">TOTAL DEBT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</si>
</sst>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0.00%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Loan Balance Comparison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'Loan Inventory'!$E$1</c:f>
              <c:strCache>
                <c:ptCount val="1"/>
                <c:pt idx="0">
                  <c:v>Current Balance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'Loan Inventory'!$A$2:$A$21</c:f>
              <c:strCache>
                <c:ptCount val="20"/>
                <c:pt idx="0">
                  <c:v>CL0001 (RH)</c:v>
                </c:pt>
                <c:pt idx="1">
                  <c:v>CL0002 (RH)</c:v>
                </c:pt>
                <c:pt idx="2">
                  <c:v>CL0003 (RH)</c:v>
                </c:pt>
                <c:pt idx="3">
                  <c:v>CL0004 (RH)</c:v>
                </c:pt>
                <c:pt idx="4">
                  <c:v>FirstMark (KH)</c:v>
                </c:pt>
                <c:pt idx="5">
                  <c:v>CL001 (KH)</c:v>
                </c:pt>
                <c:pt idx="6">
                  <c:v>CL002 (KH)</c:v>
                </c:pt>
                <c:pt idx="7">
                  <c:v>CL003 (KH)</c:v>
                </c:pt>
                <c:pt idx="8">
                  <c:v>CL004 (KH)</c:v>
                </c:pt>
                <c:pt idx="9">
                  <c:v>Fed 1 (RH)</c:v>
                </c:pt>
                <c:pt idx="10">
                  <c:v>Fed 2 (RH)</c:v>
                </c:pt>
                <c:pt idx="11">
                  <c:v>Fed 3 (RH)</c:v>
                </c:pt>
                <c:pt idx="12">
                  <c:v>Fed 4 (RH)</c:v>
                </c:pt>
                <c:pt idx="13">
                  <c:v>Fed 5 (RH)</c:v>
                </c:pt>
                <c:pt idx="14">
                  <c:v>Fed 6 (RH)</c:v>
                </c:pt>
                <c:pt idx="15">
                  <c:v>Fed 7 (RH)</c:v>
                </c:pt>
                <c:pt idx="16">
                  <c:v>Fed 8 (RH)</c:v>
                </c:pt>
                <c:pt idx="17">
                  <c:v>Fed 9 (RH)</c:v>
                </c:pt>
                <c:pt idx="18">
                  <c:v>Fed 10 (RH)</c:v>
                </c:pt>
                <c:pt idx="19">
                  <c:v>Fed 11 (RH)</c:v>
                </c:pt>
              </c:strCache>
            </c:strRef>
          </c:cat>
          <c:val>
            <c:numRef>
              <c:f>'Loan Inventory'!$E$2:$E$21</c:f>
              <c:numCache>
                <c:formatCode>\$#,##0.00</c:formatCode>
                <c:ptCount val="20"/>
                <c:pt idx="0">
                  <c:v>15764.29</c:v>
                </c:pt>
                <c:pt idx="1">
                  <c:v>6878.32</c:v>
                </c:pt>
                <c:pt idx="2">
                  <c:v>14354.01</c:v>
                </c:pt>
                <c:pt idx="3">
                  <c:v>3046.93</c:v>
                </c:pt>
                <c:pt idx="4">
                  <c:v>6129.61</c:v>
                </c:pt>
                <c:pt idx="5">
                  <c:v>6411.54</c:v>
                </c:pt>
                <c:pt idx="6">
                  <c:v>4283.21</c:v>
                </c:pt>
                <c:pt idx="7">
                  <c:v>8509.13</c:v>
                </c:pt>
                <c:pt idx="8">
                  <c:v>8602</c:v>
                </c:pt>
                <c:pt idx="9">
                  <c:v>9595.18</c:v>
                </c:pt>
                <c:pt idx="10">
                  <c:v>15958.93</c:v>
                </c:pt>
                <c:pt idx="11">
                  <c:v>10120.45</c:v>
                </c:pt>
                <c:pt idx="12">
                  <c:v>4632.39</c:v>
                </c:pt>
                <c:pt idx="13">
                  <c:v>24942.9</c:v>
                </c:pt>
                <c:pt idx="14">
                  <c:v>30004.3</c:v>
                </c:pt>
                <c:pt idx="15">
                  <c:v>5425.89</c:v>
                </c:pt>
                <c:pt idx="16">
                  <c:v>3318.88</c:v>
                </c:pt>
                <c:pt idx="17">
                  <c:v>5705.38</c:v>
                </c:pt>
                <c:pt idx="18">
                  <c:v>3471.2</c:v>
                </c:pt>
                <c:pt idx="19">
                  <c:v>11796.82</c:v>
                </c:pt>
              </c:numCache>
            </c:numRef>
          </c:val>
        </c:ser>
        <c:gapWidth val="150"/>
        <c:overlap val="0"/>
        <c:axId val="81174393"/>
        <c:axId val="3034470"/>
      </c:barChart>
      <c:catAx>
        <c:axId val="81174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Loan Account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34470"/>
        <c:crosses val="autoZero"/>
        <c:auto val="1"/>
        <c:lblAlgn val="ctr"/>
        <c:lblOffset val="100"/>
        <c:noMultiLvlLbl val="0"/>
      </c:catAx>
      <c:valAx>
        <c:axId val="3034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1743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17</xdr:col>
      <xdr:colOff>290520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2576240" y="190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2"/>
    <col collapsed="false" customWidth="true" hidden="false" outlineLevel="0" max="3" min="3" style="1" width="22.59"/>
    <col collapsed="false" customWidth="true" hidden="false" outlineLevel="0" max="4" min="4" style="1" width="18"/>
    <col collapsed="false" customWidth="true" hidden="false" outlineLevel="0" max="5" min="5" style="0" width="18"/>
    <col collapsed="false" customWidth="true" hidden="false" outlineLevel="0" max="6" min="6" style="2" width="21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3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1" t="n">
        <v>154.86</v>
      </c>
      <c r="D2" s="1" t="n">
        <v>154.86</v>
      </c>
      <c r="E2" s="6" t="n">
        <v>15764.29</v>
      </c>
      <c r="F2" s="2" t="n">
        <v>0.06</v>
      </c>
      <c r="G2" s="0" t="s">
        <v>9</v>
      </c>
    </row>
    <row r="3" customFormat="false" ht="15" hidden="false" customHeight="false" outlineLevel="0" collapsed="false">
      <c r="A3" s="0" t="s">
        <v>10</v>
      </c>
      <c r="B3" s="0" t="s">
        <v>8</v>
      </c>
      <c r="C3" s="1" t="n">
        <v>67</v>
      </c>
      <c r="D3" s="1" t="n">
        <v>67</v>
      </c>
      <c r="E3" s="6" t="n">
        <v>6878.32</v>
      </c>
      <c r="F3" s="2" t="n">
        <v>0.06</v>
      </c>
      <c r="G3" s="0" t="s">
        <v>11</v>
      </c>
    </row>
    <row r="4" customFormat="false" ht="15" hidden="false" customHeight="false" outlineLevel="0" collapsed="false">
      <c r="A4" s="0" t="s">
        <v>12</v>
      </c>
      <c r="B4" s="0" t="s">
        <v>8</v>
      </c>
      <c r="C4" s="1" t="n">
        <v>116.52</v>
      </c>
      <c r="D4" s="1" t="n">
        <v>116.52</v>
      </c>
      <c r="E4" s="6" t="n">
        <v>14354.01</v>
      </c>
      <c r="F4" s="2" t="n">
        <v>0.0375</v>
      </c>
    </row>
    <row r="5" customFormat="false" ht="15" hidden="false" customHeight="false" outlineLevel="0" collapsed="false">
      <c r="A5" s="0" t="s">
        <v>13</v>
      </c>
      <c r="B5" s="0" t="s">
        <v>8</v>
      </c>
      <c r="C5" s="1" t="n">
        <v>26.92</v>
      </c>
      <c r="D5" s="1" t="n">
        <v>26.92</v>
      </c>
      <c r="E5" s="6" t="n">
        <v>3046.93</v>
      </c>
      <c r="F5" s="2" t="n">
        <v>0.0525</v>
      </c>
    </row>
    <row r="6" customFormat="false" ht="15" hidden="false" customHeight="false" outlineLevel="0" collapsed="false">
      <c r="A6" s="0" t="s">
        <v>14</v>
      </c>
      <c r="B6" s="0" t="s">
        <v>8</v>
      </c>
      <c r="C6" s="1" t="n">
        <v>185.37</v>
      </c>
      <c r="D6" s="1" t="n">
        <v>185.37</v>
      </c>
      <c r="E6" s="6" t="n">
        <v>6129.61</v>
      </c>
      <c r="F6" s="2" t="n">
        <v>0.08125</v>
      </c>
    </row>
    <row r="7" customFormat="false" ht="15" hidden="false" customHeight="false" outlineLevel="0" collapsed="false">
      <c r="A7" s="0" t="s">
        <v>15</v>
      </c>
      <c r="B7" s="0" t="s">
        <v>8</v>
      </c>
      <c r="C7" s="1" t="n">
        <v>74.03</v>
      </c>
      <c r="D7" s="1" t="n">
        <v>74.03</v>
      </c>
      <c r="E7" s="6" t="n">
        <v>6411.54</v>
      </c>
      <c r="F7" s="2" t="n">
        <v>0.06</v>
      </c>
    </row>
    <row r="8" customFormat="false" ht="15" hidden="false" customHeight="false" outlineLevel="0" collapsed="false">
      <c r="A8" s="0" t="s">
        <v>16</v>
      </c>
      <c r="B8" s="0" t="s">
        <v>8</v>
      </c>
      <c r="C8" s="1" t="n">
        <v>48.88</v>
      </c>
      <c r="D8" s="1" t="n">
        <v>48.88</v>
      </c>
      <c r="E8" s="6" t="n">
        <v>4283.21</v>
      </c>
      <c r="F8" s="2" t="n">
        <v>0.06</v>
      </c>
    </row>
    <row r="9" customFormat="false" ht="15" hidden="false" customHeight="false" outlineLevel="0" collapsed="false">
      <c r="A9" s="0" t="s">
        <v>17</v>
      </c>
      <c r="B9" s="0" t="s">
        <v>8</v>
      </c>
      <c r="C9" s="1" t="n">
        <v>86.33</v>
      </c>
      <c r="D9" s="1" t="n">
        <v>86.33</v>
      </c>
      <c r="E9" s="6" t="n">
        <v>8509.13</v>
      </c>
      <c r="F9" s="2" t="n">
        <v>0.0375</v>
      </c>
    </row>
    <row r="10" customFormat="false" ht="15" hidden="false" customHeight="false" outlineLevel="0" collapsed="false">
      <c r="A10" s="0" t="s">
        <v>18</v>
      </c>
      <c r="B10" s="0" t="s">
        <v>8</v>
      </c>
      <c r="C10" s="1" t="n">
        <v>93.68</v>
      </c>
      <c r="D10" s="1" t="n">
        <v>93.68</v>
      </c>
      <c r="E10" s="6" t="n">
        <v>8602</v>
      </c>
      <c r="F10" s="2" t="n">
        <v>0.0525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1" t="n">
        <v>29</v>
      </c>
      <c r="D11" s="1" t="n">
        <f aca="false">(C11*3)</f>
        <v>87</v>
      </c>
      <c r="E11" s="6" t="n">
        <v>9595.18</v>
      </c>
      <c r="F11" s="2" t="n">
        <v>0.05</v>
      </c>
    </row>
    <row r="12" customFormat="false" ht="15" hidden="false" customHeight="false" outlineLevel="0" collapsed="false">
      <c r="A12" s="0" t="s">
        <v>21</v>
      </c>
      <c r="B12" s="0" t="s">
        <v>20</v>
      </c>
      <c r="C12" s="1" t="n">
        <v>49</v>
      </c>
      <c r="D12" s="1" t="n">
        <f aca="false">(C12*3)</f>
        <v>147</v>
      </c>
      <c r="E12" s="6" t="n">
        <v>15958.93</v>
      </c>
      <c r="F12" s="2" t="n">
        <v>0.0431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1" t="n">
        <v>30</v>
      </c>
      <c r="D13" s="1" t="n">
        <f aca="false">(C13*3)</f>
        <v>90</v>
      </c>
      <c r="E13" s="6" t="n">
        <v>10120.45</v>
      </c>
      <c r="F13" s="2" t="n">
        <v>0.0484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1" t="n">
        <v>14</v>
      </c>
      <c r="D14" s="1" t="n">
        <f aca="false">(C14*3)</f>
        <v>42</v>
      </c>
      <c r="E14" s="6" t="n">
        <v>4632.39</v>
      </c>
      <c r="F14" s="2" t="n">
        <v>0.0521</v>
      </c>
    </row>
    <row r="15" customFormat="false" ht="15" hidden="false" customHeight="false" outlineLevel="0" collapsed="false">
      <c r="A15" s="0" t="s">
        <v>24</v>
      </c>
      <c r="B15" s="0" t="s">
        <v>20</v>
      </c>
      <c r="C15" s="1" t="n">
        <v>76</v>
      </c>
      <c r="D15" s="1" t="n">
        <f aca="false">(C15*3)</f>
        <v>228</v>
      </c>
      <c r="E15" s="6" t="n">
        <v>24942.9</v>
      </c>
      <c r="F15" s="2" t="n">
        <v>0.0441</v>
      </c>
    </row>
    <row r="16" customFormat="false" ht="15" hidden="false" customHeight="false" outlineLevel="0" collapsed="false">
      <c r="A16" s="0" t="s">
        <v>25</v>
      </c>
      <c r="B16" s="0" t="s">
        <v>20</v>
      </c>
      <c r="C16" s="1" t="n">
        <v>87</v>
      </c>
      <c r="D16" s="1" t="n">
        <f aca="false">(C16*3)</f>
        <v>261</v>
      </c>
      <c r="E16" s="6" t="n">
        <v>30004.3</v>
      </c>
      <c r="F16" s="2" t="n">
        <v>0.058</v>
      </c>
    </row>
    <row r="17" customFormat="false" ht="15" hidden="false" customHeight="false" outlineLevel="0" collapsed="false">
      <c r="A17" s="0" t="s">
        <v>26</v>
      </c>
      <c r="B17" s="0" t="s">
        <v>20</v>
      </c>
      <c r="C17" s="1" t="n">
        <v>18</v>
      </c>
      <c r="D17" s="1" t="n">
        <f aca="false">(C17*3)</f>
        <v>54</v>
      </c>
      <c r="E17" s="6" t="n">
        <v>5425.89</v>
      </c>
      <c r="F17" s="2" t="n">
        <v>0.0315</v>
      </c>
    </row>
    <row r="18" customFormat="false" ht="15" hidden="false" customHeight="false" outlineLevel="0" collapsed="false">
      <c r="A18" s="0" t="s">
        <v>27</v>
      </c>
      <c r="B18" s="0" t="s">
        <v>20</v>
      </c>
      <c r="C18" s="1" t="n">
        <v>10</v>
      </c>
      <c r="D18" s="1" t="n">
        <f aca="false">(C18*3)</f>
        <v>30</v>
      </c>
      <c r="E18" s="6" t="n">
        <v>3318.88</v>
      </c>
      <c r="F18" s="2" t="n">
        <v>0.0655</v>
      </c>
    </row>
    <row r="19" customFormat="false" ht="15" hidden="false" customHeight="false" outlineLevel="0" collapsed="false">
      <c r="A19" s="0" t="s">
        <v>28</v>
      </c>
      <c r="B19" s="0" t="s">
        <v>20</v>
      </c>
      <c r="C19" s="1" t="n">
        <v>18</v>
      </c>
      <c r="D19" s="1" t="n">
        <f aca="false">(C19*3)</f>
        <v>54</v>
      </c>
      <c r="E19" s="6" t="n">
        <v>5705.38</v>
      </c>
      <c r="F19" s="2" t="n">
        <v>0.0425</v>
      </c>
    </row>
    <row r="20" customFormat="false" ht="15" hidden="false" customHeight="false" outlineLevel="0" collapsed="false">
      <c r="A20" s="0" t="s">
        <v>29</v>
      </c>
      <c r="B20" s="0" t="s">
        <v>20</v>
      </c>
      <c r="C20" s="1" t="n">
        <v>10</v>
      </c>
      <c r="D20" s="1" t="n">
        <f aca="false">(C20*3)</f>
        <v>30</v>
      </c>
      <c r="E20" s="6" t="n">
        <v>3471.2</v>
      </c>
      <c r="F20" s="2" t="n">
        <v>0.0655</v>
      </c>
    </row>
    <row r="21" customFormat="false" ht="15" hidden="false" customHeight="false" outlineLevel="0" collapsed="false">
      <c r="A21" s="0" t="s">
        <v>30</v>
      </c>
      <c r="B21" s="0" t="s">
        <v>20</v>
      </c>
      <c r="C21" s="1" t="n">
        <v>34</v>
      </c>
      <c r="D21" s="1" t="n">
        <f aca="false">(C21*3)</f>
        <v>102</v>
      </c>
      <c r="E21" s="6" t="n">
        <v>11796.82</v>
      </c>
      <c r="F21" s="2" t="n">
        <v>0.0655</v>
      </c>
    </row>
    <row r="22" customFormat="false" ht="15" hidden="false" customHeight="false" outlineLevel="0" collapsed="false">
      <c r="A22" s="0" t="s">
        <v>31</v>
      </c>
      <c r="B22" s="0" t="s">
        <v>20</v>
      </c>
      <c r="C22" s="1" t="n">
        <v>19.88</v>
      </c>
      <c r="D22" s="1" t="n">
        <f aca="false">(C22*3)</f>
        <v>59.64</v>
      </c>
      <c r="E22" s="6" t="n">
        <v>4643.73</v>
      </c>
      <c r="F22" s="2" t="n">
        <v>0.068</v>
      </c>
    </row>
    <row r="23" customFormat="false" ht="15" hidden="false" customHeight="false" outlineLevel="0" collapsed="false">
      <c r="A23" s="0" t="s">
        <v>32</v>
      </c>
      <c r="B23" s="0" t="s">
        <v>20</v>
      </c>
      <c r="C23" s="1" t="n">
        <v>19.04</v>
      </c>
      <c r="D23" s="1" t="n">
        <f aca="false">(C23*3)</f>
        <v>57.12</v>
      </c>
      <c r="E23" s="6" t="n">
        <v>4447.4</v>
      </c>
      <c r="F23" s="2" t="n">
        <v>0.068</v>
      </c>
    </row>
    <row r="24" customFormat="false" ht="15" hidden="false" customHeight="false" outlineLevel="0" collapsed="false">
      <c r="E24" s="6"/>
    </row>
    <row r="25" customFormat="false" ht="15" hidden="false" customHeight="false" outlineLevel="0" collapsed="false">
      <c r="A25" s="7" t="s">
        <v>33</v>
      </c>
      <c r="B25" s="7"/>
      <c r="C25" s="8"/>
      <c r="D25" s="8"/>
      <c r="E25" s="9" t="n">
        <f aca="false">SUM(E2:E21)</f>
        <v>198951.36</v>
      </c>
      <c r="F25" s="10"/>
      <c r="G2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2026-07-31T12:31:33Z</dcterms:created>
  <dc:creator>openpyxl</dc:creator>
  <dc:description/>
  <dc:language>en-US</dc:language>
  <cp:lastModifiedBy/>
  <dcterms:modified xsi:type="dcterms:W3CDTF">2026-07-31T20:34:51Z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